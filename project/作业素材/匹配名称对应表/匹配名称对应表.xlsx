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7970" windowHeight="1410" tabRatio="840" firstSheet="0" activeTab="0" autoFilterDateGrouping="1"/>
  </bookViews>
  <sheets>
    <sheet xmlns:r="http://schemas.openxmlformats.org/officeDocument/2006/relationships" name="支付宝拆解表(RPA用)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.000000_ "/>
  </numFmts>
  <fonts count="23">
    <font>
      <name val="宋体"/>
      <charset val="134"/>
      <color theme="1"/>
      <sz val="11"/>
      <scheme val="minor"/>
    </font>
    <font>
      <name val="微软雅黑"/>
      <charset val="134"/>
      <b val="1"/>
      <sz val="12"/>
    </font>
    <font>
      <name val="微软雅黑"/>
      <charset val="134"/>
      <color theme="1"/>
      <sz val="11"/>
    </font>
    <font>
      <name val="宋体"/>
      <charset val="134"/>
      <b val="1"/>
      <color rgb="FFC000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9" borderId="3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4" applyAlignment="1">
      <alignment vertical="center"/>
    </xf>
    <xf numFmtId="0" fontId="10" fillId="0" borderId="4" applyAlignment="1">
      <alignment vertical="center"/>
    </xf>
    <xf numFmtId="0" fontId="11" fillId="0" borderId="5" applyAlignment="1">
      <alignment vertical="center"/>
    </xf>
    <xf numFmtId="0" fontId="11" fillId="0" borderId="0" applyAlignment="1">
      <alignment vertical="center"/>
    </xf>
    <xf numFmtId="0" fontId="12" fillId="10" borderId="6" applyAlignment="1">
      <alignment vertical="center"/>
    </xf>
    <xf numFmtId="0" fontId="13" fillId="11" borderId="7" applyAlignment="1">
      <alignment vertical="center"/>
    </xf>
    <xf numFmtId="0" fontId="14" fillId="11" borderId="6" applyAlignment="1">
      <alignment vertical="center"/>
    </xf>
    <xf numFmtId="0" fontId="15" fillId="12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2" fillId="5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4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3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2" fillId="34" borderId="0" applyAlignment="1">
      <alignment vertical="center"/>
    </xf>
    <xf numFmtId="0" fontId="22" fillId="35" borderId="0" applyAlignment="1">
      <alignment vertical="center"/>
    </xf>
    <xf numFmtId="0" fontId="21" fillId="36" borderId="0" applyAlignment="1">
      <alignment vertical="center"/>
    </xf>
  </cellStyleXfs>
  <cellXfs count="19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horizontal="center" vertical="center"/>
    </xf>
    <xf numFmtId="0" fontId="2" fillId="7" borderId="2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165" fontId="2" fillId="8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3" pivotButton="0" quotePrefix="0" xfId="0"/>
    <xf numFmtId="0" fontId="0" fillId="0" borderId="14" pivotButton="0" quotePrefix="0" xfId="0"/>
    <xf numFmtId="164" fontId="3" fillId="6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2" fillId="8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tabSelected="1" topLeftCell="A3" workbookViewId="0">
      <selection activeCell="C32" sqref="C3:C32"/>
    </sheetView>
  </sheetViews>
  <sheetFormatPr baseColWidth="8" defaultColWidth="8.72727272727273" defaultRowHeight="14"/>
  <cols>
    <col width="7.79090909090909" customWidth="1" style="13" min="1" max="1"/>
    <col width="31.5454545454545" customWidth="1" style="13" min="2" max="2"/>
    <col width="14.2727272727273" customWidth="1" style="13" min="3" max="3"/>
    <col width="13.7272727272727" customWidth="1" style="13" min="4" max="4"/>
  </cols>
  <sheetData>
    <row r="1" ht="16.5" customHeight="1" s="13">
      <c r="A1" s="1" t="inlineStr">
        <is>
          <t>匹配底层标准</t>
        </is>
      </c>
      <c r="B1" s="14" t="n"/>
      <c r="C1" s="15" t="n"/>
    </row>
    <row r="2" ht="49.5" customHeight="1" s="13">
      <c r="A2" s="2" t="inlineStr">
        <is>
          <t>序号
(每改每拉)</t>
        </is>
      </c>
      <c r="B2" s="2" t="inlineStr">
        <is>
          <t>知意+RPA设置名称
(每改每拉)</t>
        </is>
      </c>
      <c r="C2" s="3" t="inlineStr">
        <is>
          <t>金额</t>
        </is>
      </c>
    </row>
    <row r="3" ht="28" customHeight="1" s="13">
      <c r="A3" s="4" t="n">
        <v>1</v>
      </c>
      <c r="B3" s="5" t="inlineStr">
        <is>
          <t>1000001|技术服务费-类目技术服务费（原平台类目佣金）</t>
        </is>
      </c>
      <c r="C3" s="6" t="n">
        <v>-22436.62</v>
      </c>
    </row>
    <row r="4" ht="28" customHeight="1" s="13">
      <c r="A4" s="4" t="n">
        <v>2</v>
      </c>
      <c r="B4" s="5" t="inlineStr">
        <is>
          <t>1000002|技术服务费-基础技术服务费</t>
        </is>
      </c>
      <c r="C4" s="6" t="n">
        <v>-20937.07</v>
      </c>
    </row>
    <row r="5" ht="28" customHeight="1" s="13">
      <c r="A5" s="4" t="n">
        <v>3</v>
      </c>
      <c r="B5" s="5" t="inlineStr">
        <is>
          <t>1000003|技术服务费-返点积分</t>
        </is>
      </c>
      <c r="C5" s="6" t="n">
        <v>-21147.27</v>
      </c>
    </row>
    <row r="6" s="13">
      <c r="A6" s="4" t="n">
        <v>4</v>
      </c>
      <c r="B6" s="5" t="inlineStr">
        <is>
          <t>推广平台自动充值</t>
        </is>
      </c>
      <c r="C6" s="6" t="n">
        <v>-75.33</v>
      </c>
    </row>
    <row r="7" ht="28" customHeight="1" s="13">
      <c r="A7" s="4" t="n">
        <v>5</v>
      </c>
      <c r="B7" s="5" t="inlineStr">
        <is>
          <t>1100011T|技术&amp;服务费-大服饰跨境服务增值费</t>
        </is>
      </c>
      <c r="C7" s="6" t="n">
        <v>-435.21</v>
      </c>
    </row>
    <row r="8" ht="28" customHeight="1" s="13">
      <c r="A8" s="4" t="n">
        <v>6</v>
      </c>
      <c r="B8" s="5" t="inlineStr">
        <is>
          <t>1100012T|技术&amp;服务费-限时红包代垫扣回</t>
        </is>
      </c>
      <c r="C8" s="6" t="n">
        <v>-4.14</v>
      </c>
    </row>
    <row r="9" ht="28" customHeight="1" s="13">
      <c r="A9" s="4" t="n">
        <v>7</v>
      </c>
      <c r="B9" s="5" t="inlineStr">
        <is>
          <t>营销托管-平台营销托管服务费-扣款</t>
        </is>
      </c>
      <c r="C9" s="6" t="n">
        <v>-724.55</v>
      </c>
    </row>
    <row r="10" s="13">
      <c r="A10" s="4" t="n">
        <v>8</v>
      </c>
      <c r="B10" s="5" t="inlineStr">
        <is>
          <t>营销托管新客计划</t>
        </is>
      </c>
      <c r="C10" s="6" t="n">
        <v>11.43</v>
      </c>
    </row>
    <row r="11" s="13">
      <c r="A11" s="4" t="n">
        <v>9</v>
      </c>
      <c r="B11" s="5" t="inlineStr">
        <is>
          <t>营销托管-首单拉新计划</t>
        </is>
      </c>
      <c r="C11" s="6" t="n">
        <v>-2.52</v>
      </c>
    </row>
    <row r="12" s="13">
      <c r="A12" s="4" t="n">
        <v>10</v>
      </c>
      <c r="B12" s="5" t="inlineStr">
        <is>
          <t>1200001|其他支出-平台补贴预收</t>
        </is>
      </c>
      <c r="C12" s="6" t="n">
        <v>-202.77</v>
      </c>
    </row>
    <row r="13" ht="28" customHeight="1" s="13">
      <c r="A13" s="4" t="n">
        <v>11</v>
      </c>
      <c r="B13" s="5" t="inlineStr">
        <is>
          <t>1200002T|其他收入-平台补贴激励前返</t>
        </is>
      </c>
      <c r="C13" s="6" t="n">
        <v>52.95</v>
      </c>
    </row>
    <row r="14" s="13">
      <c r="A14" s="4" t="n">
        <v>12</v>
      </c>
      <c r="B14" s="5" t="inlineStr">
        <is>
          <t>1300001|营销支出-推广佣金</t>
        </is>
      </c>
      <c r="C14" s="6" t="n">
        <v>-1016.45</v>
      </c>
    </row>
    <row r="15" s="13">
      <c r="A15" s="4" t="n">
        <v>13</v>
      </c>
      <c r="B15" s="5" t="inlineStr">
        <is>
          <t>推广联盟佣金代扣</t>
        </is>
      </c>
      <c r="C15" s="6" t="n">
        <v>-60.26</v>
      </c>
    </row>
    <row r="16" s="13">
      <c r="A16" s="4" t="n">
        <v>14</v>
      </c>
      <c r="B16" s="5" t="inlineStr">
        <is>
          <t>1400001|交易退款-余额退款</t>
        </is>
      </c>
      <c r="C16" s="6" t="n">
        <v>-156.2</v>
      </c>
    </row>
    <row r="17" s="13">
      <c r="A17" s="4" t="n">
        <v>15</v>
      </c>
      <c r="B17" s="5" t="inlineStr">
        <is>
          <t>交易退款(售后)-聚合账户</t>
        </is>
      </c>
      <c r="C17" s="6" t="n">
        <v>0</v>
      </c>
    </row>
    <row r="18" s="13">
      <c r="A18" s="4" t="n">
        <v>16</v>
      </c>
      <c r="B18" s="5" t="inlineStr">
        <is>
          <t>1400002|交易退款-保证金退款</t>
        </is>
      </c>
      <c r="C18" s="6" t="n">
        <v>-93.95999999999999</v>
      </c>
    </row>
    <row r="19" s="13">
      <c r="A19" s="4" t="n">
        <v>17</v>
      </c>
      <c r="B19" s="5" t="inlineStr">
        <is>
          <t>平台保证金-充值（代扣）</t>
        </is>
      </c>
      <c r="C19" s="6" t="n">
        <v>-160.47</v>
      </c>
    </row>
    <row r="20" s="13">
      <c r="A20" s="4" t="n">
        <v>18</v>
      </c>
      <c r="B20" s="5" t="inlineStr">
        <is>
          <t>平台保证金-保证金充值</t>
        </is>
      </c>
      <c r="C20" s="6" t="n">
        <v>-0.83</v>
      </c>
    </row>
    <row r="21" ht="28" customHeight="1" s="13">
      <c r="A21" s="4" t="n">
        <v>19</v>
      </c>
      <c r="B21" s="5" t="inlineStr">
        <is>
          <t>1500001T|服务费-体验提升计划服务费</t>
        </is>
      </c>
      <c r="C21" s="6" t="n">
        <v>-17078.05</v>
      </c>
    </row>
    <row r="22" s="13">
      <c r="A22" s="4" t="n">
        <v>20</v>
      </c>
      <c r="B22" s="5" t="inlineStr">
        <is>
          <t>加价选快递服务费</t>
        </is>
      </c>
      <c r="C22" s="6" t="n">
        <v>-12.45</v>
      </c>
    </row>
    <row r="23" s="13">
      <c r="A23" s="4" t="n">
        <v>21</v>
      </c>
      <c r="B23" s="5" t="inlineStr">
        <is>
          <t>集运物流服务费</t>
        </is>
      </c>
      <c r="C23" s="6" t="n">
        <v>-163.75</v>
      </c>
    </row>
    <row r="24" s="13">
      <c r="A24" s="4" t="n">
        <v>22</v>
      </c>
      <c r="B24" s="5" t="inlineStr">
        <is>
          <t>集运中转操作费</t>
        </is>
      </c>
      <c r="C24" s="6" t="n">
        <v>-162.48</v>
      </c>
    </row>
    <row r="25" s="13">
      <c r="A25" s="4" t="n">
        <v>23</v>
      </c>
      <c r="B25" s="5" t="inlineStr">
        <is>
          <t>先享后付技术服务费</t>
        </is>
      </c>
      <c r="C25" s="6" t="n">
        <v>-774.47</v>
      </c>
    </row>
    <row r="26" s="13">
      <c r="A26" s="4" t="n">
        <v>24</v>
      </c>
      <c r="B26" s="5" t="inlineStr">
        <is>
          <t>1600001|交易收款-交易收款</t>
        </is>
      </c>
      <c r="C26" s="6" t="n">
        <v>10132.01</v>
      </c>
    </row>
    <row r="27" s="13">
      <c r="A27" s="4" t="n">
        <v>25</v>
      </c>
      <c r="B27" s="5" t="inlineStr">
        <is>
          <t>1600002|交易收款-主体变更</t>
        </is>
      </c>
      <c r="C27" s="6" t="n">
        <v>0</v>
      </c>
    </row>
    <row r="28" s="13">
      <c r="A28" s="4" t="n">
        <v>26</v>
      </c>
      <c r="B28" s="5" t="inlineStr">
        <is>
          <t>交易收款-聚合账户</t>
        </is>
      </c>
      <c r="C28" s="6" t="n">
        <v>0</v>
      </c>
    </row>
    <row r="29" s="13">
      <c r="A29" s="4" t="n">
        <v>27</v>
      </c>
      <c r="B29" s="5" t="inlineStr">
        <is>
          <t>代销自动分账</t>
        </is>
      </c>
      <c r="C29" s="6" t="n">
        <v>-15220.08</v>
      </c>
    </row>
    <row r="30" ht="28" customHeight="1" s="13">
      <c r="A30" s="4" t="n">
        <v>28</v>
      </c>
      <c r="B30" s="5" t="inlineStr">
        <is>
          <t>分销分成账单科目明细账单</t>
        </is>
      </c>
      <c r="C30" s="6" t="n">
        <v>-71.08</v>
      </c>
    </row>
    <row r="31" s="13">
      <c r="A31" s="4" t="n">
        <v>29</v>
      </c>
      <c r="B31" s="5" t="inlineStr">
        <is>
          <t>平台保证金--</t>
        </is>
      </c>
      <c r="C31" s="6" t="n">
        <v>46.96</v>
      </c>
    </row>
    <row r="32" s="13">
      <c r="A32" s="4" t="n">
        <v>30</v>
      </c>
      <c r="B32" s="5" t="inlineStr">
        <is>
          <t>提现</t>
        </is>
      </c>
      <c r="C32" s="6" t="n">
        <v>0.2</v>
      </c>
    </row>
    <row r="60" ht="16.5" customHeight="1" s="13">
      <c r="B60" s="7" t="inlineStr">
        <is>
          <t>核验合计</t>
        </is>
      </c>
      <c r="C60" s="16">
        <f>SUM(C3:C59)</f>
        <v/>
      </c>
    </row>
    <row r="61" ht="16.5" customHeight="1" s="13">
      <c r="B61" s="9" t="inlineStr">
        <is>
          <t>源文件支出总金额</t>
        </is>
      </c>
      <c r="C61" s="17" t="n"/>
    </row>
    <row r="62" ht="33" customHeight="1" s="13">
      <c r="B62" s="11" t="inlineStr">
        <is>
          <t>用除法检验
(正确为“1.000000”)</t>
        </is>
      </c>
      <c r="C62" s="18" t="n"/>
    </row>
  </sheetData>
  <mergeCells count="1">
    <mergeCell ref="A1:C1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zt28637</dc:creator>
  <dcterms:created xmlns:dcterms="http://purl.org/dc/terms/" xmlns:xsi="http://www.w3.org/2001/XMLSchema-instance" xsi:type="dcterms:W3CDTF">2026-03-30T22:05:00Z</dcterms:created>
  <dcterms:modified xmlns:dcterms="http://purl.org/dc/terms/" xmlns:xsi="http://www.w3.org/2001/XMLSchema-instance" xsi:type="dcterms:W3CDTF">2026-10-26T10:21:24Z</dcterms:modified>
  <cp:lastModifiedBy>zt28637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EF0FA70A76564061A7FD8E4E28F1A246_11</vt:lpwstr>
  </property>
  <property name="KSOReadingLayout" fmtid="{D5CDD505-2E9C-101B-9397-08002B2CF9AE}" pid="3">
    <vt:bool xmlns:vt="http://schemas.openxmlformats.org/officeDocument/2006/docPropsVTypes">1</vt:bool>
  </property>
  <property name="KSOProductBuildVer" fmtid="{D5CDD505-2E9C-101B-9397-08002B2CF9AE}" pid="4">
    <vt:lpwstr xmlns:vt="http://schemas.openxmlformats.org/officeDocument/2006/docPropsVTypes">2052-12.1.0.28505</vt:lpwstr>
  </property>
  <property name="CalculationRule" fmtid="{D5CDD505-2E9C-101B-9397-08002B2CF9AE}" pid="5">
    <vt:i4 xmlns:vt="http://schemas.openxmlformats.org/officeDocument/2006/docPropsVTypes">1</vt:i4>
  </property>
</Properties>
</file>